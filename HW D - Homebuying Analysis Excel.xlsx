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406\Downloads\"/>
    </mc:Choice>
  </mc:AlternateContent>
  <xr:revisionPtr revIDLastSave="0" documentId="13_ncr:1_{77C9333A-828D-43EC-8B7E-10519ABEB0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copy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2" l="1"/>
  <c r="K17" i="2"/>
  <c r="K33" i="2" l="1"/>
  <c r="K15" i="2"/>
  <c r="K6" i="2" l="1"/>
  <c r="L10" i="2" s="1"/>
  <c r="K23" i="2"/>
  <c r="K20" i="2"/>
  <c r="K27" i="2" l="1"/>
  <c r="L36" i="2" s="1"/>
</calcChain>
</file>

<file path=xl/sharedStrings.xml><?xml version="1.0" encoding="utf-8"?>
<sst xmlns="http://schemas.openxmlformats.org/spreadsheetml/2006/main" count="38" uniqueCount="30">
  <si>
    <t>RENT-OR-BUY ANALYSIS</t>
  </si>
  <si>
    <t>A.</t>
  </si>
  <si>
    <t>COST OF RENTING</t>
  </si>
  <si>
    <t>1.</t>
  </si>
  <si>
    <t>Annual rental costs</t>
  </si>
  <si>
    <t xml:space="preserve"> 12 × monthly rental rate of</t>
  </si>
  <si>
    <t>)</t>
  </si>
  <si>
    <t>2.</t>
  </si>
  <si>
    <t>B.</t>
  </si>
  <si>
    <t>COST OF BUYING</t>
  </si>
  <si>
    <t>Price of Home</t>
  </si>
  <si>
    <t xml:space="preserve">Monthly mortgage payment   </t>
  </si>
  <si>
    <t>x 12 months</t>
  </si>
  <si>
    <t>Property taxes</t>
  </si>
  <si>
    <t>(</t>
  </si>
  <si>
    <t>% of price of home)</t>
  </si>
  <si>
    <t>3.</t>
  </si>
  <si>
    <t>Homeowner’s insurance</t>
  </si>
  <si>
    <t>4.</t>
  </si>
  <si>
    <t>Maintenance</t>
  </si>
  <si>
    <t>6.</t>
  </si>
  <si>
    <t>Less:</t>
  </si>
  <si>
    <t>7.</t>
  </si>
  <si>
    <t>Principal reduction in loan balance after first year</t>
  </si>
  <si>
    <t>Estimated annual appreciation in value of home</t>
  </si>
  <si>
    <t>Renter’s insurance (annual)</t>
  </si>
  <si>
    <t>Total annual cost of renting (line A.1 + line A.2)</t>
  </si>
  <si>
    <t>8.</t>
  </si>
  <si>
    <t>Total cost of buying (line B.6 - line B.7 and Line B.8)</t>
  </si>
  <si>
    <t>Total costs before principle and appreciation gains (sum of lines B.1 through B.5)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</si>
</sst>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u val="double"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u val="double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49" fontId="1" fillId="0" borderId="0" xfId="0" applyNumberFormat="1" applyFont="1" applyBorder="1"/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3" fontId="2" fillId="2" borderId="4" xfId="0" applyNumberFormat="1" applyFont="1" applyFill="1" applyBorder="1"/>
    <xf numFmtId="44" fontId="1" fillId="0" borderId="4" xfId="0" applyNumberFormat="1" applyFont="1" applyBorder="1"/>
    <xf numFmtId="42" fontId="2" fillId="2" borderId="4" xfId="0" applyNumberFormat="1" applyFont="1" applyFill="1" applyBorder="1"/>
    <xf numFmtId="44" fontId="2" fillId="0" borderId="4" xfId="0" applyNumberFormat="1" applyFont="1" applyBorder="1"/>
    <xf numFmtId="0" fontId="2" fillId="0" borderId="0" xfId="0" applyFont="1" applyBorder="1" applyAlignment="1"/>
    <xf numFmtId="0" fontId="2" fillId="0" borderId="0" xfId="0" applyFont="1" applyFill="1" applyBorder="1"/>
    <xf numFmtId="49" fontId="2" fillId="0" borderId="0" xfId="0" applyNumberFormat="1" applyFont="1" applyAlignment="1">
      <alignment horizontal="center"/>
    </xf>
    <xf numFmtId="49" fontId="0" fillId="0" borderId="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Font="1"/>
    <xf numFmtId="43" fontId="2" fillId="0" borderId="4" xfId="0" applyNumberFormat="1" applyFont="1" applyFill="1" applyBorder="1"/>
    <xf numFmtId="1" fontId="2" fillId="0" borderId="4" xfId="0" applyNumberFormat="1" applyFont="1" applyFill="1" applyBorder="1"/>
    <xf numFmtId="1" fontId="2" fillId="0" borderId="0" xfId="0" applyNumberFormat="1" applyFont="1" applyFill="1" applyBorder="1"/>
    <xf numFmtId="44" fontId="2" fillId="0" borderId="4" xfId="0" applyNumberFormat="1" applyFont="1" applyFill="1" applyBorder="1"/>
    <xf numFmtId="0" fontId="0" fillId="0" borderId="5" xfId="0" applyFont="1" applyBorder="1" applyAlignment="1"/>
    <xf numFmtId="44" fontId="2" fillId="2" borderId="4" xfId="1" applyFont="1" applyFill="1" applyBorder="1"/>
    <xf numFmtId="164" fontId="2" fillId="2" borderId="0" xfId="0" applyNumberFormat="1" applyFont="1" applyFill="1" applyBorder="1"/>
    <xf numFmtId="0" fontId="0" fillId="0" borderId="5" xfId="0" applyFont="1" applyBorder="1"/>
    <xf numFmtId="0" fontId="2" fillId="0" borderId="5" xfId="0" applyFont="1" applyBorder="1"/>
    <xf numFmtId="0" fontId="2" fillId="0" borderId="5" xfId="0" applyFont="1" applyBorder="1" applyAlignment="1"/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0" fillId="0" borderId="9" xfId="0" applyFont="1" applyBorder="1"/>
    <xf numFmtId="44" fontId="6" fillId="0" borderId="10" xfId="0" applyNumberFormat="1" applyFont="1" applyBorder="1"/>
    <xf numFmtId="0" fontId="2" fillId="0" borderId="11" xfId="0" applyFont="1" applyBorder="1"/>
    <xf numFmtId="49" fontId="2" fillId="0" borderId="12" xfId="0" applyNumberFormat="1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6" xfId="0" applyFont="1" applyBorder="1"/>
    <xf numFmtId="49" fontId="2" fillId="0" borderId="7" xfId="0" applyNumberFormat="1" applyFont="1" applyBorder="1" applyAlignment="1">
      <alignment horizontal="center"/>
    </xf>
    <xf numFmtId="44" fontId="4" fillId="0" borderId="10" xfId="0" applyNumberFormat="1" applyFont="1" applyBorder="1"/>
    <xf numFmtId="0" fontId="2" fillId="0" borderId="0" xfId="0" applyFont="1" applyBorder="1"/>
    <xf numFmtId="0" fontId="2" fillId="0" borderId="9" xfId="0" applyFont="1" applyBorder="1"/>
    <xf numFmtId="8" fontId="2" fillId="0" borderId="4" xfId="0" applyNumberFormat="1" applyFont="1" applyBorder="1"/>
    <xf numFmtId="0" fontId="2" fillId="0" borderId="9" xfId="0" applyFont="1" applyBorder="1" applyAlignment="1"/>
    <xf numFmtId="0" fontId="2" fillId="0" borderId="0" xfId="0" applyFont="1" applyBorder="1" applyAlignment="1"/>
    <xf numFmtId="49" fontId="1" fillId="0" borderId="0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1" fillId="0" borderId="7" xfId="0" applyNumberFormat="1" applyFont="1" applyBorder="1" applyAlignment="1"/>
    <xf numFmtId="0" fontId="3" fillId="0" borderId="0" xfId="0" applyFont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6FF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7"/>
  <sheetViews>
    <sheetView tabSelected="1" zoomScaleNormal="100" workbookViewId="0">
      <selection activeCell="J28" sqref="J28"/>
    </sheetView>
  </sheetViews>
  <sheetFormatPr defaultColWidth="9.140625" defaultRowHeight="15.75" x14ac:dyDescent="0.25"/>
  <cols>
    <col min="1" max="1" width="1.5703125" style="1" customWidth="1"/>
    <col min="2" max="2" width="2.85546875" style="1" customWidth="1"/>
    <col min="3" max="3" width="3.85546875" style="11" bestFit="1" customWidth="1"/>
    <col min="4" max="4" width="1.42578125" style="1" customWidth="1"/>
    <col min="5" max="5" width="8.85546875" style="1" customWidth="1"/>
    <col min="6" max="6" width="10.28515625" style="1" customWidth="1"/>
    <col min="7" max="7" width="21" style="1" customWidth="1"/>
    <col min="8" max="8" width="12" style="1" customWidth="1"/>
    <col min="9" max="9" width="26.42578125" style="1" customWidth="1"/>
    <col min="10" max="10" width="9.42578125" style="1" customWidth="1"/>
    <col min="11" max="11" width="14.5703125" style="1" customWidth="1"/>
    <col min="12" max="12" width="17" style="1" customWidth="1"/>
    <col min="13" max="16384" width="9.140625" style="1"/>
  </cols>
  <sheetData>
    <row r="2" spans="2:12" ht="16.5" thickBot="1" x14ac:dyDescent="0.3">
      <c r="B2" s="45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7"/>
    </row>
    <row r="3" spans="2:12" x14ac:dyDescent="0.25">
      <c r="B3" s="25" t="s">
        <v>1</v>
      </c>
      <c r="C3" s="48" t="s">
        <v>2</v>
      </c>
      <c r="D3" s="48"/>
      <c r="E3" s="48"/>
      <c r="F3" s="48"/>
      <c r="G3" s="26"/>
      <c r="H3" s="26"/>
      <c r="I3" s="26"/>
      <c r="J3" s="26"/>
      <c r="K3" s="26"/>
      <c r="L3" s="27"/>
    </row>
    <row r="4" spans="2:12" x14ac:dyDescent="0.25">
      <c r="B4" s="28"/>
      <c r="C4" s="2"/>
      <c r="D4" s="2"/>
      <c r="E4" s="2"/>
      <c r="F4" s="2"/>
      <c r="G4" s="39"/>
      <c r="H4" s="39"/>
      <c r="I4" s="39"/>
      <c r="J4" s="39"/>
      <c r="K4" s="39"/>
      <c r="L4" s="29"/>
    </row>
    <row r="5" spans="2:12" x14ac:dyDescent="0.25">
      <c r="B5" s="40"/>
      <c r="C5" s="3" t="s">
        <v>3</v>
      </c>
      <c r="D5" s="43" t="s">
        <v>4</v>
      </c>
      <c r="E5" s="43"/>
      <c r="F5" s="43"/>
      <c r="G5" s="43"/>
      <c r="H5" s="39"/>
      <c r="I5" s="39"/>
      <c r="J5" s="39"/>
      <c r="K5" s="39"/>
      <c r="L5" s="29"/>
    </row>
    <row r="6" spans="2:12" x14ac:dyDescent="0.25">
      <c r="B6" s="40"/>
      <c r="C6" s="3"/>
      <c r="D6" s="39"/>
      <c r="E6" s="4"/>
      <c r="F6" s="49" t="s">
        <v>5</v>
      </c>
      <c r="G6" s="49"/>
      <c r="H6" s="20">
        <v>900</v>
      </c>
      <c r="I6" s="39" t="s">
        <v>6</v>
      </c>
      <c r="J6" s="39"/>
      <c r="K6" s="6">
        <f>12*H6</f>
        <v>10800</v>
      </c>
      <c r="L6" s="29"/>
    </row>
    <row r="7" spans="2:12" x14ac:dyDescent="0.25">
      <c r="B7" s="40"/>
      <c r="C7" s="3"/>
      <c r="D7" s="39"/>
      <c r="E7" s="39"/>
      <c r="F7" s="39"/>
      <c r="G7" s="39"/>
      <c r="H7" s="39"/>
      <c r="I7" s="39"/>
      <c r="J7" s="39"/>
      <c r="K7" s="39"/>
      <c r="L7" s="29"/>
    </row>
    <row r="8" spans="2:12" x14ac:dyDescent="0.25">
      <c r="B8" s="40"/>
      <c r="C8" s="3" t="s">
        <v>7</v>
      </c>
      <c r="D8" s="43" t="s">
        <v>25</v>
      </c>
      <c r="E8" s="43"/>
      <c r="F8" s="43"/>
      <c r="G8" s="43"/>
      <c r="H8" s="39"/>
      <c r="I8" s="39"/>
      <c r="J8" s="39"/>
      <c r="K8" s="5">
        <v>225</v>
      </c>
      <c r="L8" s="29"/>
    </row>
    <row r="9" spans="2:12" x14ac:dyDescent="0.25">
      <c r="B9" s="40"/>
      <c r="C9" s="3"/>
      <c r="D9" s="39"/>
      <c r="E9" s="39"/>
      <c r="F9" s="39"/>
      <c r="G9" s="39"/>
      <c r="H9" s="39"/>
      <c r="I9" s="39"/>
      <c r="J9" s="39"/>
      <c r="K9" s="39"/>
      <c r="L9" s="29"/>
    </row>
    <row r="10" spans="2:12" s="14" customFormat="1" thickBot="1" x14ac:dyDescent="0.3">
      <c r="B10" s="30"/>
      <c r="C10" s="12"/>
      <c r="D10" s="13"/>
      <c r="E10" s="13"/>
      <c r="F10" s="13"/>
      <c r="G10" s="13"/>
      <c r="H10" s="19" t="s">
        <v>26</v>
      </c>
      <c r="I10" s="22"/>
      <c r="J10" s="22"/>
      <c r="K10" s="13"/>
      <c r="L10" s="31">
        <f>K6+K8</f>
        <v>11025</v>
      </c>
    </row>
    <row r="11" spans="2:12" ht="17.25" thickTop="1" thickBot="1" x14ac:dyDescent="0.3">
      <c r="B11" s="32"/>
      <c r="C11" s="33"/>
      <c r="D11" s="34"/>
      <c r="E11" s="34"/>
      <c r="F11" s="34"/>
      <c r="G11" s="34"/>
      <c r="H11" s="34"/>
      <c r="I11" s="34"/>
      <c r="J11" s="34"/>
      <c r="K11" s="34"/>
      <c r="L11" s="35"/>
    </row>
    <row r="12" spans="2:12" x14ac:dyDescent="0.25">
      <c r="B12" s="36"/>
      <c r="C12" s="37"/>
      <c r="D12" s="26"/>
      <c r="E12" s="26"/>
      <c r="F12" s="26"/>
      <c r="G12" s="26"/>
      <c r="H12" s="26"/>
      <c r="I12" s="26"/>
      <c r="J12" s="26"/>
      <c r="K12" s="26"/>
      <c r="L12" s="27"/>
    </row>
    <row r="13" spans="2:12" x14ac:dyDescent="0.25">
      <c r="B13" s="28" t="s">
        <v>8</v>
      </c>
      <c r="C13" s="44" t="s">
        <v>9</v>
      </c>
      <c r="D13" s="44"/>
      <c r="E13" s="44"/>
      <c r="F13" s="44"/>
      <c r="G13" s="39" t="s">
        <v>10</v>
      </c>
      <c r="H13" s="7">
        <v>245000</v>
      </c>
      <c r="I13" s="39"/>
      <c r="J13" s="39"/>
      <c r="K13" s="39"/>
      <c r="L13" s="29"/>
    </row>
    <row r="14" spans="2:12" x14ac:dyDescent="0.25">
      <c r="B14" s="40"/>
      <c r="C14" s="3"/>
      <c r="D14" s="39"/>
      <c r="E14" s="39"/>
      <c r="F14" s="39"/>
      <c r="G14" s="39"/>
      <c r="H14" s="39"/>
      <c r="I14" s="39"/>
      <c r="J14" s="10"/>
      <c r="K14" s="39"/>
      <c r="L14" s="29"/>
    </row>
    <row r="15" spans="2:12" x14ac:dyDescent="0.25">
      <c r="B15" s="40"/>
      <c r="C15" s="3" t="s">
        <v>3</v>
      </c>
      <c r="D15" s="9" t="s">
        <v>11</v>
      </c>
      <c r="E15" s="9"/>
      <c r="F15" s="9"/>
      <c r="G15" s="9"/>
      <c r="H15" s="20">
        <v>883</v>
      </c>
      <c r="I15" s="16" t="s">
        <v>12</v>
      </c>
      <c r="J15" s="17"/>
      <c r="K15" s="8">
        <f>H15*12</f>
        <v>10596</v>
      </c>
      <c r="L15" s="29"/>
    </row>
    <row r="16" spans="2:12" x14ac:dyDescent="0.25">
      <c r="B16" s="40"/>
      <c r="C16" s="3"/>
      <c r="D16" s="39"/>
      <c r="E16" s="39"/>
      <c r="F16" s="39"/>
      <c r="G16" s="39"/>
      <c r="H16" s="39"/>
      <c r="I16" s="39"/>
      <c r="J16" s="10"/>
      <c r="K16" s="39"/>
      <c r="L16" s="29"/>
    </row>
    <row r="17" spans="2:12" x14ac:dyDescent="0.25">
      <c r="B17" s="40"/>
      <c r="C17" s="3" t="s">
        <v>7</v>
      </c>
      <c r="D17" s="43" t="s">
        <v>13</v>
      </c>
      <c r="E17" s="43"/>
      <c r="F17" s="43"/>
      <c r="G17" s="43"/>
      <c r="H17" s="43"/>
      <c r="I17" s="39"/>
      <c r="J17" s="39"/>
      <c r="K17" s="15">
        <f>+E18/100*H13</f>
        <v>3675</v>
      </c>
      <c r="L17" s="29"/>
    </row>
    <row r="18" spans="2:12" x14ac:dyDescent="0.25">
      <c r="B18" s="40"/>
      <c r="C18" s="3"/>
      <c r="D18" s="39" t="s">
        <v>14</v>
      </c>
      <c r="E18" s="5">
        <v>1.5</v>
      </c>
      <c r="F18" s="43" t="s">
        <v>15</v>
      </c>
      <c r="G18" s="43"/>
      <c r="H18" s="43"/>
      <c r="I18" s="39"/>
      <c r="J18" s="39"/>
      <c r="K18" s="39"/>
      <c r="L18" s="29"/>
    </row>
    <row r="19" spans="2:12" x14ac:dyDescent="0.25">
      <c r="B19" s="40"/>
      <c r="C19" s="3"/>
      <c r="D19" s="39"/>
      <c r="E19" s="39"/>
      <c r="F19" s="39"/>
      <c r="G19" s="39"/>
      <c r="H19" s="39"/>
      <c r="I19" s="39"/>
      <c r="J19" s="39"/>
      <c r="K19" s="39"/>
      <c r="L19" s="29"/>
    </row>
    <row r="20" spans="2:12" x14ac:dyDescent="0.25">
      <c r="B20" s="40"/>
      <c r="C20" s="3" t="s">
        <v>16</v>
      </c>
      <c r="D20" s="43" t="s">
        <v>17</v>
      </c>
      <c r="E20" s="43"/>
      <c r="F20" s="43"/>
      <c r="G20" s="43"/>
      <c r="H20" s="43"/>
      <c r="I20" s="39"/>
      <c r="J20" s="39"/>
      <c r="K20" s="15">
        <f>+E21/100*H13</f>
        <v>1225</v>
      </c>
      <c r="L20" s="29"/>
    </row>
    <row r="21" spans="2:12" x14ac:dyDescent="0.25">
      <c r="B21" s="40"/>
      <c r="C21" s="3"/>
      <c r="D21" s="39" t="s">
        <v>14</v>
      </c>
      <c r="E21" s="5">
        <v>0.5</v>
      </c>
      <c r="F21" s="43" t="s">
        <v>15</v>
      </c>
      <c r="G21" s="43"/>
      <c r="H21" s="43"/>
      <c r="I21" s="39"/>
      <c r="J21" s="39"/>
      <c r="K21" s="39"/>
      <c r="L21" s="29"/>
    </row>
    <row r="22" spans="2:12" x14ac:dyDescent="0.25">
      <c r="B22" s="40"/>
      <c r="C22" s="3"/>
      <c r="D22" s="39"/>
      <c r="E22" s="39"/>
      <c r="F22" s="39"/>
      <c r="G22" s="39"/>
      <c r="H22" s="39"/>
      <c r="I22" s="39"/>
      <c r="J22" s="39"/>
      <c r="K22" s="39"/>
      <c r="L22" s="29"/>
    </row>
    <row r="23" spans="2:12" x14ac:dyDescent="0.25">
      <c r="B23" s="40"/>
      <c r="C23" s="3" t="s">
        <v>18</v>
      </c>
      <c r="D23" s="43" t="s">
        <v>19</v>
      </c>
      <c r="E23" s="43"/>
      <c r="F23" s="43"/>
      <c r="G23" s="43"/>
      <c r="H23" s="43"/>
      <c r="I23" s="39"/>
      <c r="J23" s="39"/>
      <c r="K23" s="15">
        <f>+E24/100*H13</f>
        <v>1714.9999999999998</v>
      </c>
      <c r="L23" s="29"/>
    </row>
    <row r="24" spans="2:12" x14ac:dyDescent="0.25">
      <c r="B24" s="40"/>
      <c r="C24" s="3"/>
      <c r="D24" s="39" t="s">
        <v>14</v>
      </c>
      <c r="E24" s="5">
        <v>0.7</v>
      </c>
      <c r="F24" s="43" t="s">
        <v>15</v>
      </c>
      <c r="G24" s="43"/>
      <c r="H24" s="43"/>
      <c r="I24" s="39"/>
      <c r="J24" s="39"/>
      <c r="K24" s="39"/>
      <c r="L24" s="29"/>
    </row>
    <row r="25" spans="2:12" x14ac:dyDescent="0.25">
      <c r="B25" s="40"/>
      <c r="C25" s="3"/>
      <c r="D25" s="39"/>
      <c r="E25" s="39"/>
      <c r="F25" s="39"/>
      <c r="G25" s="39"/>
      <c r="H25" s="39"/>
      <c r="I25" s="39"/>
      <c r="J25" s="39"/>
      <c r="K25" s="39"/>
      <c r="L25" s="29"/>
    </row>
    <row r="26" spans="2:12" x14ac:dyDescent="0.25">
      <c r="B26" s="40"/>
      <c r="C26" s="3"/>
      <c r="D26" s="39"/>
      <c r="E26" s="39"/>
      <c r="F26" s="39"/>
      <c r="G26" s="39"/>
      <c r="H26" s="39"/>
      <c r="I26" s="39"/>
      <c r="J26" s="39"/>
      <c r="K26" s="39"/>
      <c r="L26" s="29"/>
    </row>
    <row r="27" spans="2:12" x14ac:dyDescent="0.25">
      <c r="B27" s="40"/>
      <c r="C27" s="3" t="s">
        <v>20</v>
      </c>
      <c r="D27" s="43" t="s">
        <v>29</v>
      </c>
      <c r="E27" s="43"/>
      <c r="F27" s="43"/>
      <c r="G27" s="43"/>
      <c r="H27" s="43"/>
      <c r="I27" s="43"/>
      <c r="J27" s="39"/>
      <c r="K27" s="6">
        <f>K15+K17+K20+K23</f>
        <v>17211</v>
      </c>
      <c r="L27" s="29"/>
    </row>
    <row r="28" spans="2:12" x14ac:dyDescent="0.25">
      <c r="B28" s="40"/>
      <c r="C28" s="3"/>
      <c r="D28" s="39"/>
      <c r="E28" s="39"/>
      <c r="F28" s="39"/>
      <c r="G28" s="39"/>
      <c r="H28" s="39"/>
      <c r="I28" s="39"/>
      <c r="J28" s="39"/>
      <c r="K28" s="39"/>
      <c r="L28" s="29"/>
    </row>
    <row r="29" spans="2:12" x14ac:dyDescent="0.25">
      <c r="B29" s="42" t="s">
        <v>21</v>
      </c>
      <c r="C29" s="43"/>
      <c r="D29" s="43"/>
      <c r="E29" s="43"/>
      <c r="F29" s="39"/>
      <c r="G29" s="39"/>
      <c r="H29" s="39"/>
      <c r="I29" s="39"/>
      <c r="J29" s="39"/>
      <c r="K29" s="39"/>
      <c r="L29" s="29"/>
    </row>
    <row r="30" spans="2:12" x14ac:dyDescent="0.25">
      <c r="B30" s="40"/>
      <c r="C30" s="3"/>
      <c r="D30" s="39"/>
      <c r="E30" s="39"/>
      <c r="F30" s="39"/>
      <c r="G30" s="39"/>
      <c r="H30" s="39"/>
      <c r="I30" s="39"/>
      <c r="J30" s="39"/>
      <c r="K30" s="39"/>
      <c r="L30" s="29"/>
    </row>
    <row r="31" spans="2:12" x14ac:dyDescent="0.25">
      <c r="B31" s="40"/>
      <c r="C31" s="3" t="s">
        <v>22</v>
      </c>
      <c r="D31" s="9" t="s">
        <v>23</v>
      </c>
      <c r="E31" s="9"/>
      <c r="F31" s="9"/>
      <c r="G31" s="9"/>
      <c r="H31" s="9"/>
      <c r="I31" s="9"/>
      <c r="J31" s="39"/>
      <c r="K31" s="41">
        <f>H13*0.012</f>
        <v>2940</v>
      </c>
      <c r="L31" s="29"/>
    </row>
    <row r="32" spans="2:12" x14ac:dyDescent="0.25">
      <c r="B32" s="40"/>
      <c r="C32" s="3"/>
      <c r="D32" s="39"/>
      <c r="E32" s="39"/>
      <c r="F32" s="39"/>
      <c r="G32" s="39"/>
      <c r="H32" s="39"/>
      <c r="I32" s="39"/>
      <c r="J32" s="39"/>
      <c r="K32" s="39"/>
      <c r="L32" s="29"/>
    </row>
    <row r="33" spans="2:12" x14ac:dyDescent="0.25">
      <c r="B33" s="40"/>
      <c r="C33" s="3" t="s">
        <v>27</v>
      </c>
      <c r="D33" s="43" t="s">
        <v>24</v>
      </c>
      <c r="E33" s="43"/>
      <c r="F33" s="43"/>
      <c r="G33" s="43"/>
      <c r="H33" s="43"/>
      <c r="I33" s="43"/>
      <c r="J33" s="39"/>
      <c r="K33" s="18">
        <f>+E34/100*H13</f>
        <v>7350</v>
      </c>
      <c r="L33" s="29"/>
    </row>
    <row r="34" spans="2:12" x14ac:dyDescent="0.25">
      <c r="B34" s="40"/>
      <c r="C34" s="3"/>
      <c r="D34" s="39" t="s">
        <v>14</v>
      </c>
      <c r="E34" s="21">
        <v>3</v>
      </c>
      <c r="F34" s="43" t="s">
        <v>15</v>
      </c>
      <c r="G34" s="43"/>
      <c r="H34" s="43"/>
      <c r="I34" s="39"/>
      <c r="J34" s="39"/>
      <c r="K34" s="39"/>
      <c r="L34" s="29"/>
    </row>
    <row r="35" spans="2:12" x14ac:dyDescent="0.25">
      <c r="B35" s="40"/>
      <c r="C35" s="3"/>
      <c r="D35" s="39"/>
      <c r="E35" s="10"/>
      <c r="F35" s="39"/>
      <c r="G35" s="39"/>
      <c r="H35" s="39"/>
      <c r="I35" s="39"/>
      <c r="J35" s="39"/>
      <c r="K35" s="39"/>
      <c r="L35" s="29"/>
    </row>
    <row r="36" spans="2:12" ht="16.5" thickBot="1" x14ac:dyDescent="0.3">
      <c r="B36" s="40"/>
      <c r="C36" s="3"/>
      <c r="D36" s="39"/>
      <c r="E36" s="39"/>
      <c r="F36" s="39"/>
      <c r="G36" s="39"/>
      <c r="H36" s="19" t="s">
        <v>28</v>
      </c>
      <c r="I36" s="24"/>
      <c r="J36" s="23"/>
      <c r="K36" s="39"/>
      <c r="L36" s="38">
        <f>K27-K33-K31</f>
        <v>6921</v>
      </c>
    </row>
    <row r="37" spans="2:12" ht="17.25" thickTop="1" thickBot="1" x14ac:dyDescent="0.3">
      <c r="B37" s="32"/>
      <c r="C37" s="33"/>
      <c r="D37" s="34"/>
      <c r="E37" s="34"/>
      <c r="F37" s="34"/>
      <c r="G37" s="34"/>
      <c r="H37" s="34"/>
      <c r="I37" s="34"/>
      <c r="J37" s="34"/>
      <c r="K37" s="34"/>
      <c r="L37" s="35"/>
    </row>
  </sheetData>
  <protectedRanges>
    <protectedRange sqref="H6 K8 E34 K33 H15 I15 J15 E18 E21 E24 K17 K20 K23" name="Range1"/>
  </protectedRanges>
  <mergeCells count="16">
    <mergeCell ref="B2:L2"/>
    <mergeCell ref="C3:F3"/>
    <mergeCell ref="D5:G5"/>
    <mergeCell ref="F6:G6"/>
    <mergeCell ref="D8:G8"/>
    <mergeCell ref="B29:E29"/>
    <mergeCell ref="D33:I33"/>
    <mergeCell ref="F34:H34"/>
    <mergeCell ref="D27:I27"/>
    <mergeCell ref="C13:F13"/>
    <mergeCell ref="D17:H17"/>
    <mergeCell ref="F18:H18"/>
    <mergeCell ref="D20:H20"/>
    <mergeCell ref="F21:H21"/>
    <mergeCell ref="D23:H23"/>
    <mergeCell ref="F24:H24"/>
  </mergeCells>
  <pageMargins left="0.7" right="0.7" top="0.75" bottom="0.75" header="0.3" footer="0.3"/>
  <pageSetup scale="7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002F23F4FF941A74B5FDFA0B6EBA9" ma:contentTypeVersion="12" ma:contentTypeDescription="Create a new document." ma:contentTypeScope="" ma:versionID="ed3e47a4475dffbd67fb569faec1fbf5">
  <xsd:schema xmlns:xsd="http://www.w3.org/2001/XMLSchema" xmlns:xs="http://www.w3.org/2001/XMLSchema" xmlns:p="http://schemas.microsoft.com/office/2006/metadata/properties" xmlns:ns3="1a9974d8-78ef-42c7-b3fc-feec77d3de59" xmlns:ns4="dddeaf74-6f08-4a19-b533-726d6cc63622" targetNamespace="http://schemas.microsoft.com/office/2006/metadata/properties" ma:root="true" ma:fieldsID="b728a9850598dc0073c7945303193058" ns3:_="" ns4:_="">
    <xsd:import namespace="1a9974d8-78ef-42c7-b3fc-feec77d3de59"/>
    <xsd:import namespace="dddeaf74-6f08-4a19-b533-726d6cc636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9974d8-78ef-42c7-b3fc-feec77d3de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eaf74-6f08-4a19-b533-726d6cc6362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E8EFB4-7B69-41E1-B31F-A6B9D34FA8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38C485-1907-4181-9FAA-E29110C036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9974d8-78ef-42c7-b3fc-feec77d3de59"/>
    <ds:schemaRef ds:uri="dddeaf74-6f08-4a19-b533-726d6cc636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3622CF-DB87-4E2C-9FA8-1CF909ABE4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copy</vt:lpstr>
    </vt:vector>
  </TitlesOfParts>
  <Manager/>
  <Company>Speed_XP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Speed_XP</dc:creator>
  <cp:keywords/>
  <dc:description/>
  <cp:lastModifiedBy>Josh Gee</cp:lastModifiedBy>
  <cp:revision/>
  <dcterms:created xsi:type="dcterms:W3CDTF">2010-11-25T10:13:44Z</dcterms:created>
  <dcterms:modified xsi:type="dcterms:W3CDTF">2022-02-11T04:26:43Z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0x010100BEE002F23F4FF941A74B5FDFA0B6EBA9</vt:lpwstr>
  </property>
</Properties>
</file>